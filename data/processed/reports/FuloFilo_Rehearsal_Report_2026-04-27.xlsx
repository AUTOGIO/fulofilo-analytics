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BC Analysis" sheetId="2" state="visible" r:id="rId2"/>
    <sheet name="Margin Matrix" sheetId="3" state="visible" r:id="rId3"/>
    <sheet name="Inventory" sheetId="4" state="visible" r:id="rId4"/>
    <sheet name="Daily Ops" sheetId="5" state="visible" r:id="rId5"/>
    <sheet name="Cashflow" sheetId="6" state="visible" r:id="rId6"/>
    <sheet name="Products Catalog" sheetId="7" state="visible" r:id="rId7"/>
    <sheet name="Product Categories" sheetId="8" state="visible" r:id="rId8"/>
    <sheet name="Pivot Cat×Month" sheetId="9" state="visible" r:id="rId9"/>
  </sheets>
  <definedNames>
    <definedName name="_xlnm._FilterDatabase" localSheetId="1" hidden="1">'ABC Analysis'!$A$1:$J$1</definedName>
    <definedName name="_xlnm._FilterDatabase" localSheetId="3" hidden="1">'Inventory'!$A$1:$I$1</definedName>
    <definedName name="_xlnm._FilterDatabase" localSheetId="6" hidden="1">'Products Catalog'!$A$1:$I$1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888888"/>
      <sz val="10"/>
    </font>
    <font>
      <name val="Arial"/>
      <b val="1"/>
      <color rgb="00FFFFFF"/>
      <sz val="9"/>
    </font>
    <font>
      <name val="Arial"/>
      <b val="1"/>
      <color rgb="001A1A1A"/>
      <sz val="16"/>
    </font>
    <font>
      <name val="Arial"/>
      <i val="1"/>
      <color rgb="00666666"/>
      <sz val="8"/>
    </font>
    <font>
      <name val="Arial"/>
      <b val="1"/>
      <color rgb="00888888"/>
      <sz val="9"/>
    </font>
    <font>
      <name val="Arial"/>
      <b val="1"/>
      <color rgb="002D6A4F"/>
      <sz val="9"/>
    </font>
    <font>
      <name val="Arial"/>
      <b val="1"/>
      <color rgb="00FFFFFF"/>
      <sz val="11"/>
    </font>
    <font>
      <name val="Arial"/>
      <color rgb="001A1A1A"/>
      <sz val="9"/>
    </font>
    <font>
      <name val="Arial"/>
      <b val="1"/>
      <color rgb="00FFFFFF"/>
      <sz val="10"/>
    </font>
    <font>
      <name val="Arial"/>
      <b val="1"/>
      <color rgb="001A1A1A"/>
      <sz val="10"/>
    </font>
    <font>
      <name val="Arial"/>
      <b val="1"/>
      <color rgb="001A1A1A"/>
      <sz val="11"/>
    </font>
    <font>
      <name val="Arial"/>
      <b val="1"/>
      <color rgb="001A1A1A"/>
      <sz val="9"/>
    </font>
  </fonts>
  <fills count="9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5F5F5"/>
      </patternFill>
    </fill>
    <fill>
      <patternFill patternType="solid">
        <fgColor rgb="001B4F72"/>
      </patternFill>
    </fill>
    <fill>
      <patternFill patternType="solid">
        <fgColor rgb="00D8F3DC"/>
      </patternFill>
    </fill>
    <fill>
      <patternFill patternType="solid">
        <fgColor rgb="00FFF9DB"/>
      </patternFill>
    </fill>
    <fill>
      <patternFill patternType="solid">
        <fgColor rgb="00FDEC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164" fontId="9" fillId="5" borderId="1" applyAlignment="1" pivotButton="0" quotePrefix="0" xfId="0">
      <alignment horizontal="right" vertical="center"/>
    </xf>
    <xf numFmtId="1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164" fontId="9" fillId="6" borderId="1" applyAlignment="1" pivotButton="0" quotePrefix="0" xfId="0">
      <alignment horizontal="right" vertical="center"/>
    </xf>
    <xf numFmtId="10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164" fontId="9" fillId="7" borderId="1" applyAlignment="1" pivotButton="0" quotePrefix="0" xfId="0">
      <alignment horizontal="right" vertical="center"/>
    </xf>
    <xf numFmtId="10" fontId="9" fillId="7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0" pivotButton="0" quotePrefix="0" xfId="0"/>
    <xf numFmtId="0" fontId="9" fillId="0" borderId="1" pivotButton="0" quotePrefix="0" xfId="0"/>
    <xf numFmtId="164" fontId="9" fillId="0" borderId="1" applyAlignment="1" pivotButton="0" quotePrefix="0" xfId="0">
      <alignment horizontal="right" vertical="center"/>
    </xf>
    <xf numFmtId="10" fontId="9" fillId="0" borderId="1" applyAlignment="1" pivotButton="0" quotePrefix="0" xfId="0">
      <alignment horizontal="center" vertical="center"/>
    </xf>
    <xf numFmtId="0" fontId="11" fillId="3" borderId="0" pivotButton="0" quotePrefix="0" xfId="0"/>
    <xf numFmtId="164" fontId="12" fillId="3" borderId="0" pivotButton="0" quotePrefix="0" xfId="0"/>
    <xf numFmtId="0" fontId="9" fillId="3" borderId="1" applyAlignment="1" pivotButton="0" quotePrefix="0" xfId="0">
      <alignment horizontal="left" vertical="center"/>
    </xf>
    <xf numFmtId="164" fontId="9" fillId="3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164" fontId="9" fillId="8" borderId="1" applyAlignment="1" pivotButton="0" quotePrefix="0" xfId="0">
      <alignment horizontal="right" vertical="center"/>
    </xf>
    <xf numFmtId="165" fontId="9" fillId="8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10" fontId="9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10" fontId="9" fillId="8" borderId="1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3" fillId="3" borderId="1" pivotButton="0" quotePrefix="0" xfId="0"/>
    <xf numFmtId="164" fontId="1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20 Produtos por Receita (R$)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'ABC Analysis'!$C$2:$C$7</f>
            </numRef>
          </cat>
          <val>
            <numRef>
              <f>'ABC Analysis'!$E$2:$E$7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Receita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2D6A4F"/>
    <outlinePr summaryBelow="1" summaryRight="1"/>
    <pageSetUpPr fitToPage="1"/>
  </sheetPr>
  <dimension ref="A1:N1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6" customWidth="1" min="4" max="4"/>
    <col width="14" customWidth="1" min="5" max="5"/>
    <col width="12" customWidth="1" min="6" max="6"/>
    <col width="10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 ht="40" customHeight="1">
      <c r="A1" s="1" t="inlineStr">
        <is>
          <t>🌺  FulôFiló Analytics Pro — Dashboard Executivo</t>
        </is>
      </c>
    </row>
    <row r="2">
      <c r="A2" s="2" t="inlineStr">
        <is>
          <t>Gerado em 27/04/2026  •  6 SKUs ativos</t>
        </is>
      </c>
    </row>
    <row r="4">
      <c r="A4" s="3" t="inlineStr">
        <is>
          <t>💰 Receita Total (MTD)</t>
        </is>
      </c>
      <c r="B4" s="4" t="n"/>
      <c r="C4" s="3" t="inlineStr">
        <is>
          <t>📈 Margem Bruta</t>
        </is>
      </c>
      <c r="D4" s="4" t="n"/>
      <c r="E4" s="3" t="inlineStr">
        <is>
          <t>🏆 Top Categoria</t>
        </is>
      </c>
      <c r="F4" s="4" t="n"/>
      <c r="G4" s="3" t="inlineStr">
        <is>
          <t>🏷️ Valor em Estoque</t>
        </is>
      </c>
      <c r="H4" s="4" t="n"/>
      <c r="I4" s="3" t="inlineStr">
        <is>
          <t>📦 Total SKUs</t>
        </is>
      </c>
      <c r="J4" s="4" t="n"/>
    </row>
    <row r="5">
      <c r="A5" s="5" t="inlineStr">
        <is>
          <t>R$ 669.00</t>
        </is>
      </c>
      <c r="B5" s="4" t="n"/>
      <c r="C5" s="5" t="inlineStr">
        <is>
          <t>59.3%</t>
        </is>
      </c>
      <c r="D5" s="4" t="n"/>
      <c r="E5" s="5" t="inlineStr">
        <is>
          <t>Acessórios</t>
        </is>
      </c>
      <c r="F5" s="4" t="n"/>
      <c r="G5" s="5" t="inlineStr">
        <is>
          <t>R$ 2,764.50</t>
        </is>
      </c>
      <c r="H5" s="4" t="n"/>
      <c r="I5" s="5" t="inlineStr">
        <is>
          <t>6</t>
        </is>
      </c>
      <c r="J5" s="4" t="n"/>
    </row>
    <row r="6">
      <c r="A6" s="6" t="inlineStr">
        <is>
          <t>Todas as vendas</t>
        </is>
      </c>
      <c r="B6" s="4" t="n"/>
      <c r="C6" s="6" t="inlineStr">
        <is>
          <t>Lucro / Receita</t>
        </is>
      </c>
      <c r="D6" s="4" t="n"/>
      <c r="E6" s="6" t="inlineStr">
        <is>
          <t>Maior receita</t>
        </is>
      </c>
      <c r="F6" s="4" t="n"/>
      <c r="G6" s="6" t="inlineStr">
        <is>
          <t>6 SKUs</t>
        </is>
      </c>
      <c r="H6" s="4" t="n"/>
      <c r="I6" s="6" t="inlineStr">
        <is>
          <t>Produtos ativos</t>
        </is>
      </c>
      <c r="J6" s="4" t="n"/>
    </row>
    <row r="7">
      <c r="A7" s="7" t="inlineStr"/>
      <c r="B7" s="4" t="n"/>
      <c r="C7" s="8" t="inlineStr">
        <is>
          <t>↑ vs meta 40%</t>
        </is>
      </c>
      <c r="D7" s="4" t="n"/>
      <c r="E7" s="7" t="inlineStr"/>
      <c r="F7" s="4" t="n"/>
      <c r="G7" s="7" t="inlineStr"/>
      <c r="H7" s="4" t="n"/>
      <c r="I7" s="7" t="inlineStr"/>
      <c r="J7" s="4" t="n"/>
    </row>
    <row r="9" ht="20" customHeight="1">
      <c r="A9" s="9" t="inlineStr">
        <is>
          <t>TOP 10 PRODUTOS POR RECEITA</t>
        </is>
      </c>
    </row>
    <row r="10">
      <c r="A10" s="3" t="inlineStr">
        <is>
          <t>Rank</t>
        </is>
      </c>
      <c r="B10" s="3" t="inlineStr">
        <is>
          <t>Produto</t>
        </is>
      </c>
      <c r="C10" s="3" t="inlineStr">
        <is>
          <t>Categoria</t>
        </is>
      </c>
      <c r="D10" s="3" t="inlineStr">
        <is>
          <t>Receita (R$)</t>
        </is>
      </c>
      <c r="E10" s="3" t="inlineStr">
        <is>
          <t>Qtd Vendida</t>
        </is>
      </c>
      <c r="F10" s="3" t="inlineStr">
        <is>
          <t>Margem %</t>
        </is>
      </c>
      <c r="G10" s="3" t="inlineStr">
        <is>
          <t>Classe ABC</t>
        </is>
      </c>
    </row>
    <row r="11">
      <c r="A11" s="10" t="n">
        <v>1</v>
      </c>
      <c r="B11" s="11" t="inlineStr">
        <is>
          <t>Canga Sol do Nordeste</t>
        </is>
      </c>
      <c r="C11" s="11" t="inlineStr">
        <is>
          <t>Cangas</t>
        </is>
      </c>
      <c r="D11" s="12" t="n">
        <v>178</v>
      </c>
      <c r="E11" s="11" t="n">
        <v>2</v>
      </c>
      <c r="F11" s="13" t="n">
        <v>0.573</v>
      </c>
      <c r="G11" s="10" t="inlineStr">
        <is>
          <t>A</t>
        </is>
      </c>
    </row>
    <row r="12">
      <c r="A12" s="10" t="n">
        <v>2</v>
      </c>
      <c r="B12" s="11" t="inlineStr">
        <is>
          <t>Bolsa Praia Listrada</t>
        </is>
      </c>
      <c r="C12" s="11" t="inlineStr">
        <is>
          <t>Acessórios</t>
        </is>
      </c>
      <c r="D12" s="12" t="n">
        <v>177</v>
      </c>
      <c r="E12" s="11" t="n">
        <v>3</v>
      </c>
      <c r="F12" s="13" t="n">
        <v>0.593</v>
      </c>
      <c r="G12" s="10" t="inlineStr">
        <is>
          <t>A</t>
        </is>
      </c>
    </row>
    <row r="13">
      <c r="A13" s="10" t="n">
        <v>3</v>
      </c>
      <c r="B13" s="11" t="inlineStr">
        <is>
          <t>Caneca Tropical Azul</t>
        </is>
      </c>
      <c r="C13" s="11" t="inlineStr">
        <is>
          <t>Presentes</t>
        </is>
      </c>
      <c r="D13" s="12" t="n">
        <v>119.6</v>
      </c>
      <c r="E13" s="11" t="n">
        <v>4</v>
      </c>
      <c r="F13" s="13" t="n">
        <v>0.615</v>
      </c>
      <c r="G13" s="10" t="inlineStr">
        <is>
          <t>A</t>
        </is>
      </c>
    </row>
    <row r="14">
      <c r="A14" s="14" t="n">
        <v>4</v>
      </c>
      <c r="B14" s="15" t="inlineStr">
        <is>
          <t>Necessaire Coqueiro</t>
        </is>
      </c>
      <c r="C14" s="15" t="inlineStr">
        <is>
          <t>Acessórios</t>
        </is>
      </c>
      <c r="D14" s="16" t="n">
        <v>79.8</v>
      </c>
      <c r="E14" s="15" t="n">
        <v>2</v>
      </c>
      <c r="F14" s="17" t="n">
        <v>0.5610000000000001</v>
      </c>
      <c r="G14" s="14" t="inlineStr">
        <is>
          <t>B</t>
        </is>
      </c>
    </row>
    <row r="15">
      <c r="A15" s="14" t="n">
        <v>5</v>
      </c>
      <c r="B15" s="15" t="inlineStr">
        <is>
          <t>Camiseta Nordeste Arte</t>
        </is>
      </c>
      <c r="C15" s="15" t="inlineStr">
        <is>
          <t>Vestuário</t>
        </is>
      </c>
      <c r="D15" s="16" t="n">
        <v>69.90000000000001</v>
      </c>
      <c r="E15" s="15" t="n">
        <v>1</v>
      </c>
      <c r="F15" s="17" t="n">
        <v>0.599</v>
      </c>
      <c r="G15" s="14" t="inlineStr">
        <is>
          <t>B</t>
        </is>
      </c>
    </row>
    <row r="16">
      <c r="A16" s="18" t="n">
        <v>6</v>
      </c>
      <c r="B16" s="19" t="inlineStr">
        <is>
          <t>Chaveiro Mar Bordado</t>
        </is>
      </c>
      <c r="C16" s="19" t="inlineStr">
        <is>
          <t>Souvenirs</t>
        </is>
      </c>
      <c r="D16" s="20" t="n">
        <v>44.7</v>
      </c>
      <c r="E16" s="19" t="n">
        <v>3</v>
      </c>
      <c r="F16" s="21" t="n">
        <v>0.664</v>
      </c>
      <c r="G16" s="18" t="inlineStr">
        <is>
          <t>C</t>
        </is>
      </c>
    </row>
  </sheetData>
  <mergeCells count="23">
    <mergeCell ref="A9:N9"/>
    <mergeCell ref="C6:D6"/>
    <mergeCell ref="I6:J6"/>
    <mergeCell ref="C5:D5"/>
    <mergeCell ref="E5:F5"/>
    <mergeCell ref="A6:B6"/>
    <mergeCell ref="C4:D4"/>
    <mergeCell ref="A1:N1"/>
    <mergeCell ref="E4:F4"/>
    <mergeCell ref="A7:B7"/>
    <mergeCell ref="G7:H7"/>
    <mergeCell ref="I7:J7"/>
    <mergeCell ref="G6:H6"/>
    <mergeCell ref="E6:F6"/>
    <mergeCell ref="A2:N2"/>
    <mergeCell ref="A5:B5"/>
    <mergeCell ref="G5:H5"/>
    <mergeCell ref="I5:J5"/>
    <mergeCell ref="A4:B4"/>
    <mergeCell ref="G4:H4"/>
    <mergeCell ref="I4:J4"/>
    <mergeCell ref="C7:D7"/>
    <mergeCell ref="E7:F7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2D6A4F"/>
    <outlinePr summaryBelow="1" summaryRight="1"/>
    <pageSetUpPr fitToPage="1"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18" customWidth="1" min="4" max="4"/>
    <col width="16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</cols>
  <sheetData>
    <row r="1">
      <c r="A1" s="22" t="inlineStr">
        <is>
          <t>Rank</t>
        </is>
      </c>
      <c r="B1" s="22" t="inlineStr">
        <is>
          <t>Cód.</t>
        </is>
      </c>
      <c r="C1" s="22" t="inlineStr">
        <is>
          <t>Produto</t>
        </is>
      </c>
      <c r="D1" s="22" t="inlineStr">
        <is>
          <t>Categoria</t>
        </is>
      </c>
      <c r="E1" s="22" t="inlineStr">
        <is>
          <t>Receita (R$)</t>
        </is>
      </c>
      <c r="F1" s="22" t="inlineStr">
        <is>
          <t>Receita %</t>
        </is>
      </c>
      <c r="G1" s="22" t="inlineStr">
        <is>
          <t>Acumulado %</t>
        </is>
      </c>
      <c r="H1" s="22" t="inlineStr">
        <is>
          <t>Classe ABC</t>
        </is>
      </c>
      <c r="I1" s="22" t="inlineStr">
        <is>
          <t>Margem %</t>
        </is>
      </c>
      <c r="J1" s="22" t="inlineStr">
        <is>
          <t>Qtd Vendida</t>
        </is>
      </c>
    </row>
    <row r="2">
      <c r="A2" s="10" t="n">
        <v>1</v>
      </c>
      <c r="B2" s="11" t="inlineStr">
        <is>
          <t>10002</t>
        </is>
      </c>
      <c r="C2" s="11" t="inlineStr">
        <is>
          <t>Canga Sol do Nordeste</t>
        </is>
      </c>
      <c r="D2" s="11" t="inlineStr">
        <is>
          <t>Cangas</t>
        </is>
      </c>
      <c r="E2" s="12" t="n">
        <v>178</v>
      </c>
      <c r="F2" s="13" t="n">
        <v>0.266068759342302</v>
      </c>
      <c r="G2" s="13" t="n">
        <v>0.266</v>
      </c>
      <c r="H2" s="11" t="inlineStr">
        <is>
          <t>A</t>
        </is>
      </c>
      <c r="I2" s="13" t="n">
        <v>0.573</v>
      </c>
      <c r="J2" s="11" t="n">
        <v>2</v>
      </c>
    </row>
    <row r="3">
      <c r="A3" s="10" t="n">
        <v>2</v>
      </c>
      <c r="B3" s="11" t="inlineStr">
        <is>
          <t>10001</t>
        </is>
      </c>
      <c r="C3" s="11" t="inlineStr">
        <is>
          <t>Bolsa Praia Listrada</t>
        </is>
      </c>
      <c r="D3" s="11" t="inlineStr">
        <is>
          <t>Acessórios</t>
        </is>
      </c>
      <c r="E3" s="12" t="n">
        <v>177</v>
      </c>
      <c r="F3" s="13" t="n">
        <v>0.2645739910313901</v>
      </c>
      <c r="G3" s="13" t="n">
        <v>0.531</v>
      </c>
      <c r="H3" s="11" t="inlineStr">
        <is>
          <t>A</t>
        </is>
      </c>
      <c r="I3" s="13" t="n">
        <v>0.593</v>
      </c>
      <c r="J3" s="11" t="n">
        <v>3</v>
      </c>
    </row>
    <row r="4">
      <c r="A4" s="10" t="n">
        <v>3</v>
      </c>
      <c r="B4" s="11" t="inlineStr">
        <is>
          <t>10003</t>
        </is>
      </c>
      <c r="C4" s="11" t="inlineStr">
        <is>
          <t>Caneca Tropical Azul</t>
        </is>
      </c>
      <c r="D4" s="11" t="inlineStr">
        <is>
          <t>Presentes</t>
        </is>
      </c>
      <c r="E4" s="12" t="n">
        <v>119.6</v>
      </c>
      <c r="F4" s="13" t="n">
        <v>0.1787742899850523</v>
      </c>
      <c r="G4" s="13" t="n">
        <v>0.7090000000000001</v>
      </c>
      <c r="H4" s="11" t="inlineStr">
        <is>
          <t>A</t>
        </is>
      </c>
      <c r="I4" s="13" t="n">
        <v>0.615</v>
      </c>
      <c r="J4" s="11" t="n">
        <v>4</v>
      </c>
    </row>
    <row r="5">
      <c r="A5" s="14" t="n">
        <v>4</v>
      </c>
      <c r="B5" s="15" t="inlineStr">
        <is>
          <t>10005</t>
        </is>
      </c>
      <c r="C5" s="15" t="inlineStr">
        <is>
          <t>Necessaire Coqueiro</t>
        </is>
      </c>
      <c r="D5" s="15" t="inlineStr">
        <is>
          <t>Acessórios</t>
        </is>
      </c>
      <c r="E5" s="16" t="n">
        <v>79.8</v>
      </c>
      <c r="F5" s="17" t="n">
        <v>0.1192825112107623</v>
      </c>
      <c r="G5" s="17" t="n">
        <v>0.8290000000000001</v>
      </c>
      <c r="H5" s="15" t="inlineStr">
        <is>
          <t>B</t>
        </is>
      </c>
      <c r="I5" s="17" t="n">
        <v>0.5610000000000001</v>
      </c>
      <c r="J5" s="15" t="n">
        <v>2</v>
      </c>
    </row>
    <row r="6">
      <c r="A6" s="14" t="n">
        <v>5</v>
      </c>
      <c r="B6" s="15" t="inlineStr">
        <is>
          <t>10006</t>
        </is>
      </c>
      <c r="C6" s="15" t="inlineStr">
        <is>
          <t>Camiseta Nordeste Arte</t>
        </is>
      </c>
      <c r="D6" s="15" t="inlineStr">
        <is>
          <t>Vestuário</t>
        </is>
      </c>
      <c r="E6" s="16" t="n">
        <v>69.90000000000001</v>
      </c>
      <c r="F6" s="17" t="n">
        <v>0.1044843049327354</v>
      </c>
      <c r="G6" s="17" t="n">
        <v>0.9329999999999999</v>
      </c>
      <c r="H6" s="15" t="inlineStr">
        <is>
          <t>B</t>
        </is>
      </c>
      <c r="I6" s="17" t="n">
        <v>0.599</v>
      </c>
      <c r="J6" s="15" t="n">
        <v>1</v>
      </c>
    </row>
    <row r="7">
      <c r="A7" s="18" t="n">
        <v>6</v>
      </c>
      <c r="B7" s="19" t="inlineStr">
        <is>
          <t>10004</t>
        </is>
      </c>
      <c r="C7" s="19" t="inlineStr">
        <is>
          <t>Chaveiro Mar Bordado</t>
        </is>
      </c>
      <c r="D7" s="19" t="inlineStr">
        <is>
          <t>Souvenirs</t>
        </is>
      </c>
      <c r="E7" s="20" t="n">
        <v>44.7</v>
      </c>
      <c r="F7" s="21" t="n">
        <v>0.06681614349775786</v>
      </c>
      <c r="G7" s="21" t="n">
        <v>1</v>
      </c>
      <c r="H7" s="19" t="inlineStr">
        <is>
          <t>C</t>
        </is>
      </c>
      <c r="I7" s="21" t="n">
        <v>0.664</v>
      </c>
      <c r="J7" s="19" t="n">
        <v>3</v>
      </c>
    </row>
  </sheetData>
  <autoFilter ref="A1:J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D6A4F"/>
    <outlinePr summaryBelow="1" summaryRight="1"/>
    <pageSetUpPr fitToPage="1"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4" customWidth="1" min="8" max="8"/>
    <col width="14" customWidth="1" min="9" max="9"/>
  </cols>
  <sheetData>
    <row r="1">
      <c r="A1" s="22" t="inlineStr">
        <is>
          <t>Produto</t>
        </is>
      </c>
      <c r="B1" s="22" t="inlineStr">
        <is>
          <t>Categoria</t>
        </is>
      </c>
      <c r="C1" s="22" t="inlineStr">
        <is>
          <t>Custo (R$)</t>
        </is>
      </c>
      <c r="D1" s="22" t="inlineStr">
        <is>
          <t>Preço (R$)</t>
        </is>
      </c>
      <c r="E1" s="22" t="inlineStr">
        <is>
          <t>Margem R$</t>
        </is>
      </c>
      <c r="F1" s="22" t="inlineStr">
        <is>
          <t>Margem %</t>
        </is>
      </c>
      <c r="G1" s="22" t="inlineStr">
        <is>
          <t>Volume</t>
        </is>
      </c>
      <c r="H1" s="22" t="inlineStr">
        <is>
          <t>Receita Total</t>
        </is>
      </c>
      <c r="I1" s="22" t="inlineStr">
        <is>
          <t>Margem Total</t>
        </is>
      </c>
    </row>
    <row r="2">
      <c r="A2" s="11" t="inlineStr">
        <is>
          <t>Canga Sol do Nordeste</t>
        </is>
      </c>
      <c r="B2" s="11" t="inlineStr">
        <is>
          <t>Cangas</t>
        </is>
      </c>
      <c r="C2" s="12" t="n">
        <v>38</v>
      </c>
      <c r="D2" s="12" t="n">
        <v>89</v>
      </c>
      <c r="E2" s="12" t="n">
        <v>51</v>
      </c>
      <c r="F2" s="13" t="n">
        <v>0.573</v>
      </c>
      <c r="G2" s="10" t="n">
        <v>2</v>
      </c>
      <c r="H2" s="12" t="n">
        <v>178</v>
      </c>
      <c r="I2" s="12" t="n">
        <v>102</v>
      </c>
    </row>
    <row r="3">
      <c r="A3" s="11" t="inlineStr">
        <is>
          <t>Bolsa Praia Listrada</t>
        </is>
      </c>
      <c r="B3" s="11" t="inlineStr">
        <is>
          <t>Acessórios</t>
        </is>
      </c>
      <c r="C3" s="12" t="n">
        <v>24</v>
      </c>
      <c r="D3" s="12" t="n">
        <v>59</v>
      </c>
      <c r="E3" s="12" t="n">
        <v>35</v>
      </c>
      <c r="F3" s="13" t="n">
        <v>0.593</v>
      </c>
      <c r="G3" s="10" t="n">
        <v>3</v>
      </c>
      <c r="H3" s="12" t="n">
        <v>177</v>
      </c>
      <c r="I3" s="12" t="n">
        <v>105</v>
      </c>
    </row>
    <row r="4">
      <c r="A4" s="11" t="inlineStr">
        <is>
          <t>Caneca Tropical Azul</t>
        </is>
      </c>
      <c r="B4" s="11" t="inlineStr">
        <is>
          <t>Presentes</t>
        </is>
      </c>
      <c r="C4" s="12" t="n">
        <v>11.5</v>
      </c>
      <c r="D4" s="12" t="n">
        <v>29.9</v>
      </c>
      <c r="E4" s="12" t="n">
        <v>18.4</v>
      </c>
      <c r="F4" s="13" t="n">
        <v>0.615</v>
      </c>
      <c r="G4" s="10" t="n">
        <v>4</v>
      </c>
      <c r="H4" s="12" t="n">
        <v>119.6</v>
      </c>
      <c r="I4" s="12" t="n">
        <v>73.59999999999999</v>
      </c>
    </row>
    <row r="5">
      <c r="A5" s="11" t="inlineStr">
        <is>
          <t>Necessaire Coqueiro</t>
        </is>
      </c>
      <c r="B5" s="11" t="inlineStr">
        <is>
          <t>Acessórios</t>
        </is>
      </c>
      <c r="C5" s="12" t="n">
        <v>17.5</v>
      </c>
      <c r="D5" s="12" t="n">
        <v>39.9</v>
      </c>
      <c r="E5" s="12" t="n">
        <v>22.4</v>
      </c>
      <c r="F5" s="13" t="n">
        <v>0.5610000000000001</v>
      </c>
      <c r="G5" s="10" t="n">
        <v>2</v>
      </c>
      <c r="H5" s="12" t="n">
        <v>79.8</v>
      </c>
      <c r="I5" s="12" t="n">
        <v>44.8</v>
      </c>
    </row>
    <row r="6">
      <c r="A6" s="11" t="inlineStr">
        <is>
          <t>Camiseta Nordeste Arte</t>
        </is>
      </c>
      <c r="B6" s="11" t="inlineStr">
        <is>
          <t>Vestuário</t>
        </is>
      </c>
      <c r="C6" s="12" t="n">
        <v>28</v>
      </c>
      <c r="D6" s="12" t="n">
        <v>69.90000000000001</v>
      </c>
      <c r="E6" s="12" t="n">
        <v>41.90000000000001</v>
      </c>
      <c r="F6" s="13" t="n">
        <v>0.599</v>
      </c>
      <c r="G6" s="10" t="n">
        <v>1</v>
      </c>
      <c r="H6" s="12" t="n">
        <v>69.90000000000001</v>
      </c>
      <c r="I6" s="12" t="n">
        <v>41.9</v>
      </c>
    </row>
    <row r="7">
      <c r="A7" s="11" t="inlineStr">
        <is>
          <t>Chaveiro Mar Bordado</t>
        </is>
      </c>
      <c r="B7" s="11" t="inlineStr">
        <is>
          <t>Souvenirs</t>
        </is>
      </c>
      <c r="C7" s="12" t="n">
        <v>5</v>
      </c>
      <c r="D7" s="12" t="n">
        <v>14.9</v>
      </c>
      <c r="E7" s="12" t="n">
        <v>9.9</v>
      </c>
      <c r="F7" s="13" t="n">
        <v>0.664</v>
      </c>
      <c r="G7" s="10" t="n">
        <v>3</v>
      </c>
      <c r="H7" s="12" t="n">
        <v>44.7</v>
      </c>
      <c r="I7" s="12" t="n">
        <v>29.7</v>
      </c>
    </row>
    <row r="9">
      <c r="A9" s="23" t="inlineStr">
        <is>
          <t>RESUMO POR CATEGORIA</t>
        </is>
      </c>
    </row>
    <row r="10">
      <c r="A10" s="22" t="inlineStr">
        <is>
          <t>Categoria</t>
        </is>
      </c>
      <c r="B10" s="22" t="inlineStr">
        <is>
          <t>Receita Total</t>
        </is>
      </c>
      <c r="C10" s="22" t="inlineStr">
        <is>
          <t>Margem Total</t>
        </is>
      </c>
      <c r="D10" s="22" t="inlineStr">
        <is>
          <t>Margem % Média</t>
        </is>
      </c>
    </row>
    <row r="11">
      <c r="A11" s="24" t="inlineStr">
        <is>
          <t>Acessórios</t>
        </is>
      </c>
      <c r="B11" s="25" t="n">
        <v>256.8</v>
      </c>
      <c r="C11" s="25" t="n">
        <v>149.8</v>
      </c>
      <c r="D11" s="26" t="n">
        <v>0.5770000000000001</v>
      </c>
    </row>
    <row r="12">
      <c r="A12" s="24" t="inlineStr">
        <is>
          <t>Cangas</t>
        </is>
      </c>
      <c r="B12" s="25" t="n">
        <v>178</v>
      </c>
      <c r="C12" s="25" t="n">
        <v>102</v>
      </c>
      <c r="D12" s="26" t="n">
        <v>0.573</v>
      </c>
    </row>
    <row r="13">
      <c r="A13" s="24" t="inlineStr">
        <is>
          <t>Presentes</t>
        </is>
      </c>
      <c r="B13" s="25" t="n">
        <v>119.6</v>
      </c>
      <c r="C13" s="25" t="n">
        <v>73.59999999999999</v>
      </c>
      <c r="D13" s="26" t="n">
        <v>0.615</v>
      </c>
    </row>
    <row r="14">
      <c r="A14" s="24" t="inlineStr">
        <is>
          <t>Vestuário</t>
        </is>
      </c>
      <c r="B14" s="25" t="n">
        <v>69.90000000000001</v>
      </c>
      <c r="C14" s="25" t="n">
        <v>41.9</v>
      </c>
      <c r="D14" s="26" t="n">
        <v>0.599</v>
      </c>
    </row>
    <row r="15">
      <c r="A15" s="24" t="inlineStr">
        <is>
          <t>Souvenirs</t>
        </is>
      </c>
      <c r="B15" s="25" t="n">
        <v>44.7</v>
      </c>
      <c r="C15" s="25" t="n">
        <v>29.7</v>
      </c>
      <c r="D15" s="26" t="n">
        <v>0.664</v>
      </c>
    </row>
  </sheetData>
  <mergeCells count="1">
    <mergeCell ref="A9:D9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2D6A4F"/>
    <outlinePr summaryBelow="1" summaryRight="1"/>
    <pageSetUpPr fitToPage="1"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14" customWidth="1" min="4" max="4"/>
    <col width="12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>
      <c r="A1" s="22" t="inlineStr">
        <is>
          <t>SKU</t>
        </is>
      </c>
      <c r="B1" s="22" t="inlineStr">
        <is>
          <t>Produto</t>
        </is>
      </c>
      <c r="C1" s="22" t="inlineStr">
        <is>
          <t>Categoria</t>
        </is>
      </c>
      <c r="D1" s="22" t="inlineStr">
        <is>
          <t>Estoque Atual</t>
        </is>
      </c>
      <c r="E1" s="22" t="inlineStr">
        <is>
          <t>Estoque Mín</t>
        </is>
      </c>
      <c r="F1" s="22" t="inlineStr">
        <is>
          <t>Ponto Reposição</t>
        </is>
      </c>
      <c r="G1" s="22" t="inlineStr">
        <is>
          <t>Status</t>
        </is>
      </c>
      <c r="H1" s="22" t="inlineStr">
        <is>
          <t>Dias de Estoque</t>
        </is>
      </c>
      <c r="I1" s="22" t="inlineStr">
        <is>
          <t>Valor (R$)</t>
        </is>
      </c>
    </row>
    <row r="2">
      <c r="A2" s="11" t="inlineStr">
        <is>
          <t>10001</t>
        </is>
      </c>
      <c r="B2" s="11" t="inlineStr">
        <is>
          <t>Bolsa Praia Listrada</t>
        </is>
      </c>
      <c r="C2" s="11" t="inlineStr">
        <is>
          <t>Acessórios</t>
        </is>
      </c>
      <c r="D2" s="10" t="n">
        <v>18</v>
      </c>
      <c r="E2" s="10" t="n">
        <v>6</v>
      </c>
      <c r="F2" s="10" t="n">
        <v>18</v>
      </c>
      <c r="G2" s="10" t="inlineStr">
        <is>
          <t>🟢 OK</t>
        </is>
      </c>
      <c r="H2" s="10" t="n">
        <v>2189</v>
      </c>
      <c r="I2" s="12" t="n">
        <v>432</v>
      </c>
    </row>
    <row r="3">
      <c r="A3" s="11" t="inlineStr">
        <is>
          <t>10002</t>
        </is>
      </c>
      <c r="B3" s="11" t="inlineStr">
        <is>
          <t>Canga Sol do Nordeste</t>
        </is>
      </c>
      <c r="C3" s="11" t="inlineStr">
        <is>
          <t>Cangas</t>
        </is>
      </c>
      <c r="D3" s="10" t="n">
        <v>18</v>
      </c>
      <c r="E3" s="10" t="n">
        <v>4</v>
      </c>
      <c r="F3" s="10" t="n">
        <v>12</v>
      </c>
      <c r="G3" s="10" t="inlineStr">
        <is>
          <t>🟢 OK</t>
        </is>
      </c>
      <c r="H3" s="10" t="n">
        <v>3285</v>
      </c>
      <c r="I3" s="12" t="n">
        <v>684</v>
      </c>
    </row>
    <row r="4">
      <c r="A4" s="11" t="inlineStr">
        <is>
          <t>10003</t>
        </is>
      </c>
      <c r="B4" s="11" t="inlineStr">
        <is>
          <t>Caneca Tropical Azul</t>
        </is>
      </c>
      <c r="C4" s="11" t="inlineStr">
        <is>
          <t>Souvenirs</t>
        </is>
      </c>
      <c r="D4" s="10" t="n">
        <v>32</v>
      </c>
      <c r="E4" s="10" t="n">
        <v>8</v>
      </c>
      <c r="F4" s="10" t="n">
        <v>24</v>
      </c>
      <c r="G4" s="10" t="inlineStr">
        <is>
          <t>🟢 OK</t>
        </is>
      </c>
      <c r="H4" s="10" t="n">
        <v>2920</v>
      </c>
      <c r="I4" s="12" t="n">
        <v>368</v>
      </c>
    </row>
    <row r="5">
      <c r="A5" s="11" t="inlineStr">
        <is>
          <t>10004</t>
        </is>
      </c>
      <c r="B5" s="11" t="inlineStr">
        <is>
          <t>Chaveiro Mar Bordado</t>
        </is>
      </c>
      <c r="C5" s="11" t="inlineStr">
        <is>
          <t>Souvenirs</t>
        </is>
      </c>
      <c r="D5" s="10" t="n">
        <v>45</v>
      </c>
      <c r="E5" s="10" t="n">
        <v>12</v>
      </c>
      <c r="F5" s="10" t="n">
        <v>36</v>
      </c>
      <c r="G5" s="10" t="inlineStr">
        <is>
          <t>🟢 OK</t>
        </is>
      </c>
      <c r="H5" s="10" t="n">
        <v>5474</v>
      </c>
      <c r="I5" s="12" t="n">
        <v>225</v>
      </c>
    </row>
    <row r="6">
      <c r="A6" s="11" t="inlineStr">
        <is>
          <t>10005</t>
        </is>
      </c>
      <c r="B6" s="11" t="inlineStr">
        <is>
          <t>Necessaire Coqueiro</t>
        </is>
      </c>
      <c r="C6" s="11" t="inlineStr">
        <is>
          <t>Acessórios</t>
        </is>
      </c>
      <c r="D6" s="10" t="n">
        <v>16</v>
      </c>
      <c r="E6" s="10" t="n">
        <v>5</v>
      </c>
      <c r="F6" s="10" t="n">
        <v>15</v>
      </c>
      <c r="G6" s="10" t="inlineStr">
        <is>
          <t>🟢 OK</t>
        </is>
      </c>
      <c r="H6" s="10" t="n">
        <v>2920</v>
      </c>
      <c r="I6" s="12" t="n">
        <v>280</v>
      </c>
    </row>
    <row r="7">
      <c r="A7" s="11" t="inlineStr">
        <is>
          <t>10006</t>
        </is>
      </c>
      <c r="B7" s="11" t="inlineStr">
        <is>
          <t>Camiseta Nordeste Arte</t>
        </is>
      </c>
      <c r="C7" s="11" t="inlineStr">
        <is>
          <t>Vestuário</t>
        </is>
      </c>
      <c r="D7" s="10" t="n">
        <v>9</v>
      </c>
      <c r="E7" s="10" t="n">
        <v>3</v>
      </c>
      <c r="F7" s="10" t="n">
        <v>9</v>
      </c>
      <c r="G7" s="10" t="inlineStr">
        <is>
          <t>🟢 OK</t>
        </is>
      </c>
      <c r="H7" s="10" t="n">
        <v>3285</v>
      </c>
      <c r="I7" s="12" t="n">
        <v>252</v>
      </c>
    </row>
    <row r="8">
      <c r="A8" s="27" t="inlineStr">
        <is>
          <t>TOTAIS</t>
        </is>
      </c>
      <c r="I8" s="28">
        <f>SUM(I2:I7)</f>
        <v/>
      </c>
    </row>
  </sheetData>
  <autoFilter ref="A1:I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2D6A4F"/>
    <outlinePr summaryBelow="1" summaryRight="1"/>
    <pageSetUpPr fitToPage="1"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28" customWidth="1" min="5" max="5"/>
    <col width="18" customWidth="1" min="6" max="6"/>
    <col width="16" customWidth="1" min="7" max="7"/>
    <col width="16" customWidth="1" min="8" max="8"/>
    <col width="16" customWidth="1" min="9" max="9"/>
  </cols>
  <sheetData>
    <row r="1">
      <c r="A1" s="22" t="inlineStr">
        <is>
          <t>Data</t>
        </is>
      </c>
      <c r="B1" s="22" t="inlineStr">
        <is>
          <t>Receita (R$)</t>
        </is>
      </c>
      <c r="C1" s="22" t="inlineStr">
        <is>
          <t>Transações</t>
        </is>
      </c>
      <c r="D1" s="22" t="inlineStr">
        <is>
          <t>Ticket Médio (R$)</t>
        </is>
      </c>
      <c r="E1" s="22" t="inlineStr">
        <is>
          <t>Produto Top</t>
        </is>
      </c>
      <c r="F1" s="22" t="inlineStr">
        <is>
          <t>Método Pagto</t>
        </is>
      </c>
      <c r="G1" s="22" t="inlineStr">
        <is>
          <t>Entrada (R$)</t>
        </is>
      </c>
      <c r="H1" s="22" t="inlineStr">
        <is>
          <t>Saída (R$)</t>
        </is>
      </c>
      <c r="I1" s="22" t="inlineStr">
        <is>
          <t>Saldo (R$)</t>
        </is>
      </c>
    </row>
    <row r="2">
      <c r="A2" s="29" t="inlineStr">
        <is>
          <t>2026-04-20</t>
        </is>
      </c>
      <c r="B2" s="30" t="n">
        <v>296.6</v>
      </c>
      <c r="C2" s="29" t="n">
        <v>2</v>
      </c>
      <c r="D2" s="30" t="n">
        <v>148.3</v>
      </c>
      <c r="E2" s="29" t="inlineStr">
        <is>
          <t>Bolsa Praia Listrada</t>
        </is>
      </c>
      <c r="F2" s="29" t="inlineStr">
        <is>
          <t>Pix</t>
        </is>
      </c>
      <c r="G2" s="30" t="n">
        <v>296.6</v>
      </c>
      <c r="H2" s="30" t="n">
        <v>0</v>
      </c>
      <c r="I2" s="30" t="n">
        <v>296.6</v>
      </c>
    </row>
    <row r="3">
      <c r="A3" s="31" t="inlineStr">
        <is>
          <t>2026-04-21</t>
        </is>
      </c>
      <c r="B3" s="32" t="n">
        <v>178</v>
      </c>
      <c r="C3" s="31" t="n">
        <v>1</v>
      </c>
      <c r="D3" s="32" t="n">
        <v>178</v>
      </c>
      <c r="E3" s="31" t="inlineStr">
        <is>
          <t>Canga Sol do Nordeste</t>
        </is>
      </c>
      <c r="F3" s="31" t="inlineStr">
        <is>
          <t>Crédito</t>
        </is>
      </c>
      <c r="G3" s="32" t="n">
        <v>178</v>
      </c>
      <c r="H3" s="32" t="n">
        <v>0</v>
      </c>
      <c r="I3" s="32" t="n">
        <v>178</v>
      </c>
    </row>
    <row r="4">
      <c r="A4" s="29" t="inlineStr">
        <is>
          <t>2026-04-22</t>
        </is>
      </c>
      <c r="B4" s="30" t="n">
        <v>79.8</v>
      </c>
      <c r="C4" s="29" t="n">
        <v>1</v>
      </c>
      <c r="D4" s="30" t="n">
        <v>79.8</v>
      </c>
      <c r="E4" s="29" t="inlineStr">
        <is>
          <t>Necessaire Coqueiro</t>
        </is>
      </c>
      <c r="F4" s="29" t="inlineStr">
        <is>
          <t>Pix</t>
        </is>
      </c>
      <c r="G4" s="30" t="n">
        <v>79.8</v>
      </c>
      <c r="H4" s="30" t="n">
        <v>0</v>
      </c>
      <c r="I4" s="30" t="n">
        <v>79.8</v>
      </c>
    </row>
    <row r="5">
      <c r="A5" s="31" t="inlineStr">
        <is>
          <t>2026-04-23</t>
        </is>
      </c>
      <c r="B5" s="32" t="n">
        <v>69.90000000000001</v>
      </c>
      <c r="C5" s="31" t="n">
        <v>1</v>
      </c>
      <c r="D5" s="32" t="n">
        <v>69.90000000000001</v>
      </c>
      <c r="E5" s="31" t="inlineStr">
        <is>
          <t>Camiseta Nordeste Arte</t>
        </is>
      </c>
      <c r="F5" s="31" t="inlineStr">
        <is>
          <t>Dinheiro</t>
        </is>
      </c>
      <c r="G5" s="32" t="n">
        <v>69.90000000000001</v>
      </c>
      <c r="H5" s="32" t="n">
        <v>0</v>
      </c>
      <c r="I5" s="32" t="n">
        <v>69.90000000000001</v>
      </c>
    </row>
    <row r="6">
      <c r="A6" s="29" t="inlineStr">
        <is>
          <t>2026-04-27</t>
        </is>
      </c>
      <c r="B6" s="30" t="n">
        <v>44.7</v>
      </c>
      <c r="C6" s="29" t="n">
        <v>1</v>
      </c>
      <c r="D6" s="30" t="n">
        <v>44.7</v>
      </c>
      <c r="E6" s="29" t="inlineStr">
        <is>
          <t>Chaveiro Mar Bordado</t>
        </is>
      </c>
      <c r="F6" s="29" t="inlineStr">
        <is>
          <t>Pix</t>
        </is>
      </c>
      <c r="G6" s="30" t="n">
        <v>44.7</v>
      </c>
      <c r="H6" s="30" t="n">
        <v>0</v>
      </c>
      <c r="I6" s="30" t="n">
        <v>44.7</v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2D6A4F"/>
    <outlinePr summaryBelow="1" summaryRight="1"/>
    <pageSetUpPr fitToPage="1"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>
      <c r="A1" s="22" t="inlineStr">
        <is>
          <t>Mês</t>
        </is>
      </c>
      <c r="B1" s="22" t="inlineStr">
        <is>
          <t>Saldo Inicial</t>
        </is>
      </c>
      <c r="C1" s="22" t="inlineStr">
        <is>
          <t>Entradas (R$)</t>
        </is>
      </c>
      <c r="D1" s="22" t="inlineStr">
        <is>
          <t>Saídas (R$)</t>
        </is>
      </c>
      <c r="E1" s="22" t="inlineStr">
        <is>
          <t>Fluxo Líquido</t>
        </is>
      </c>
      <c r="F1" s="22" t="inlineStr">
        <is>
          <t>Saldo Final</t>
        </is>
      </c>
      <c r="G1" s="22" t="inlineStr">
        <is>
          <t>Runway (meses)</t>
        </is>
      </c>
    </row>
    <row r="2">
      <c r="A2" s="31" t="inlineStr">
        <is>
          <t>2026-04</t>
        </is>
      </c>
      <c r="B2" s="32" t="n">
        <v>0</v>
      </c>
      <c r="C2" s="32" t="n">
        <v>474.6</v>
      </c>
      <c r="D2" s="32" t="n">
        <v>215</v>
      </c>
      <c r="E2" s="32" t="n">
        <v>259.6</v>
      </c>
      <c r="F2" s="32" t="n">
        <v>259.6</v>
      </c>
      <c r="G2" s="33" t="n">
        <v>1.2</v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2D6A4F"/>
    <outlinePr summaryBelow="1" summaryRight="1"/>
    <pageSetUpPr fitToPage="1"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14" customWidth="1" min="4" max="4"/>
    <col width="18" customWidth="1" min="5" max="5"/>
    <col width="12" customWidth="1" min="6" max="6"/>
    <col width="14" customWidth="1" min="7" max="7"/>
    <col width="16" customWidth="1" min="8" max="8"/>
    <col width="10" customWidth="1" min="9" max="9"/>
  </cols>
  <sheetData>
    <row r="1">
      <c r="A1" s="22" t="inlineStr">
        <is>
          <t>SKU</t>
        </is>
      </c>
      <c r="B1" s="22" t="inlineStr">
        <is>
          <t>Nome Completo</t>
        </is>
      </c>
      <c r="C1" s="22" t="inlineStr">
        <is>
          <t>Categoria</t>
        </is>
      </c>
      <c r="D1" s="22" t="inlineStr">
        <is>
          <t>Custo (R$)</t>
        </is>
      </c>
      <c r="E1" s="22" t="inlineStr">
        <is>
          <t>Preço Sugerido (R$)</t>
        </is>
      </c>
      <c r="F1" s="22" t="inlineStr">
        <is>
          <t>Margem %</t>
        </is>
      </c>
      <c r="G1" s="22" t="inlineStr">
        <is>
          <t>Qtd Vendida</t>
        </is>
      </c>
      <c r="H1" s="22" t="inlineStr">
        <is>
          <t>Receita (R$)</t>
        </is>
      </c>
      <c r="I1" s="22" t="inlineStr">
        <is>
          <t>Classe ABC</t>
        </is>
      </c>
    </row>
    <row r="2">
      <c r="A2" s="34" t="inlineStr">
        <is>
          <t>10001</t>
        </is>
      </c>
      <c r="B2" s="29" t="inlineStr">
        <is>
          <t>Bolsa Praia Listrada</t>
        </is>
      </c>
      <c r="C2" s="29" t="inlineStr">
        <is>
          <t>Acessórios</t>
        </is>
      </c>
      <c r="D2" s="30" t="n">
        <v>24</v>
      </c>
      <c r="E2" s="30" t="n">
        <v>59</v>
      </c>
      <c r="F2" s="35" t="n">
        <v>0.593</v>
      </c>
      <c r="G2" s="29" t="n">
        <v>3</v>
      </c>
      <c r="H2" s="30" t="n">
        <v>177</v>
      </c>
      <c r="I2" s="34" t="inlineStr">
        <is>
          <t>A</t>
        </is>
      </c>
    </row>
    <row r="3">
      <c r="A3" s="36" t="inlineStr">
        <is>
          <t>10006</t>
        </is>
      </c>
      <c r="B3" s="31" t="inlineStr">
        <is>
          <t>Camiseta Nordeste Arte</t>
        </is>
      </c>
      <c r="C3" s="31" t="inlineStr">
        <is>
          <t>Vestuário</t>
        </is>
      </c>
      <c r="D3" s="32" t="n">
        <v>28</v>
      </c>
      <c r="E3" s="32" t="n">
        <v>69.90000000000001</v>
      </c>
      <c r="F3" s="37" t="n">
        <v>0.599</v>
      </c>
      <c r="G3" s="31" t="n">
        <v>1</v>
      </c>
      <c r="H3" s="32" t="n">
        <v>69.90000000000001</v>
      </c>
      <c r="I3" s="36" t="inlineStr">
        <is>
          <t>B</t>
        </is>
      </c>
    </row>
    <row r="4">
      <c r="A4" s="34" t="inlineStr">
        <is>
          <t>10003</t>
        </is>
      </c>
      <c r="B4" s="29" t="inlineStr">
        <is>
          <t>Caneca Tropical Azul</t>
        </is>
      </c>
      <c r="C4" s="29" t="inlineStr">
        <is>
          <t>Presentes</t>
        </is>
      </c>
      <c r="D4" s="30" t="n">
        <v>11.5</v>
      </c>
      <c r="E4" s="30" t="n">
        <v>29.9</v>
      </c>
      <c r="F4" s="35" t="n">
        <v>0.615</v>
      </c>
      <c r="G4" s="29" t="n">
        <v>4</v>
      </c>
      <c r="H4" s="30" t="n">
        <v>119.6</v>
      </c>
      <c r="I4" s="34" t="inlineStr">
        <is>
          <t>A</t>
        </is>
      </c>
    </row>
    <row r="5">
      <c r="A5" s="36" t="inlineStr">
        <is>
          <t>10002</t>
        </is>
      </c>
      <c r="B5" s="31" t="inlineStr">
        <is>
          <t>Canga Sol do Nordeste</t>
        </is>
      </c>
      <c r="C5" s="31" t="inlineStr">
        <is>
          <t>Cangas</t>
        </is>
      </c>
      <c r="D5" s="32" t="n">
        <v>38</v>
      </c>
      <c r="E5" s="32" t="n">
        <v>89</v>
      </c>
      <c r="F5" s="37" t="n">
        <v>0.573</v>
      </c>
      <c r="G5" s="31" t="n">
        <v>2</v>
      </c>
      <c r="H5" s="32" t="n">
        <v>178</v>
      </c>
      <c r="I5" s="36" t="inlineStr">
        <is>
          <t>A</t>
        </is>
      </c>
    </row>
    <row r="6">
      <c r="A6" s="34" t="inlineStr">
        <is>
          <t>10004</t>
        </is>
      </c>
      <c r="B6" s="29" t="inlineStr">
        <is>
          <t>Chaveiro Mar Bordado</t>
        </is>
      </c>
      <c r="C6" s="29" t="inlineStr">
        <is>
          <t>Souvenirs</t>
        </is>
      </c>
      <c r="D6" s="30" t="n">
        <v>5</v>
      </c>
      <c r="E6" s="30" t="n">
        <v>14.9</v>
      </c>
      <c r="F6" s="35" t="n">
        <v>0.664</v>
      </c>
      <c r="G6" s="29" t="n">
        <v>3</v>
      </c>
      <c r="H6" s="30" t="n">
        <v>44.7</v>
      </c>
      <c r="I6" s="34" t="inlineStr">
        <is>
          <t>C</t>
        </is>
      </c>
    </row>
    <row r="7">
      <c r="A7" s="36" t="inlineStr">
        <is>
          <t>10005</t>
        </is>
      </c>
      <c r="B7" s="31" t="inlineStr">
        <is>
          <t>Necessaire Coqueiro</t>
        </is>
      </c>
      <c r="C7" s="31" t="inlineStr">
        <is>
          <t>Acessórios</t>
        </is>
      </c>
      <c r="D7" s="32" t="n">
        <v>17.5</v>
      </c>
      <c r="E7" s="32" t="n">
        <v>39.9</v>
      </c>
      <c r="F7" s="37" t="n">
        <v>0.5610000000000001</v>
      </c>
      <c r="G7" s="31" t="n">
        <v>2</v>
      </c>
      <c r="H7" s="32" t="n">
        <v>79.8</v>
      </c>
      <c r="I7" s="36" t="inlineStr">
        <is>
          <t>B</t>
        </is>
      </c>
    </row>
  </sheetData>
  <autoFilter ref="A1:I1"/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tabColor rgb="002D6A4F"/>
    <outlinePr summaryBelow="1" summaryRight="1"/>
    <pageSetUpPr fitToPage="1"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6" customWidth="1" min="4" max="4"/>
    <col width="12" customWidth="1" min="5" max="5"/>
  </cols>
  <sheetData>
    <row r="1">
      <c r="A1" s="22" t="inlineStr">
        <is>
          <t>Categoria</t>
        </is>
      </c>
      <c r="B1" s="22" t="inlineStr">
        <is>
          <t>Total SKUs</t>
        </is>
      </c>
      <c r="C1" s="22" t="inlineStr">
        <is>
          <t>Receita Total (R$)</t>
        </is>
      </c>
      <c r="D1" s="22" t="inlineStr">
        <is>
          <t>Margem % Média</t>
        </is>
      </c>
      <c r="E1" s="22" t="inlineStr">
        <is>
          <t>Classe ABC</t>
        </is>
      </c>
    </row>
    <row r="2">
      <c r="A2" s="11" t="inlineStr">
        <is>
          <t>Acessórios</t>
        </is>
      </c>
      <c r="B2" s="10" t="n">
        <v>2</v>
      </c>
      <c r="C2" s="12" t="n">
        <v>256.8</v>
      </c>
      <c r="D2" s="13" t="n">
        <v>0.5770000000000001</v>
      </c>
      <c r="E2" s="10" t="inlineStr">
        <is>
          <t>A</t>
        </is>
      </c>
    </row>
    <row r="3">
      <c r="A3" s="11" t="inlineStr">
        <is>
          <t>Cangas</t>
        </is>
      </c>
      <c r="B3" s="10" t="n">
        <v>1</v>
      </c>
      <c r="C3" s="12" t="n">
        <v>178</v>
      </c>
      <c r="D3" s="13" t="n">
        <v>0.573</v>
      </c>
      <c r="E3" s="10" t="inlineStr">
        <is>
          <t>A</t>
        </is>
      </c>
    </row>
    <row r="4">
      <c r="A4" s="15" t="inlineStr">
        <is>
          <t>Presentes</t>
        </is>
      </c>
      <c r="B4" s="14" t="n">
        <v>1</v>
      </c>
      <c r="C4" s="16" t="n">
        <v>119.6</v>
      </c>
      <c r="D4" s="17" t="n">
        <v>0.615</v>
      </c>
      <c r="E4" s="14" t="inlineStr">
        <is>
          <t>B</t>
        </is>
      </c>
    </row>
    <row r="5">
      <c r="A5" s="15" t="inlineStr">
        <is>
          <t>Vestuário</t>
        </is>
      </c>
      <c r="B5" s="14" t="n">
        <v>1</v>
      </c>
      <c r="C5" s="16" t="n">
        <v>69.90000000000001</v>
      </c>
      <c r="D5" s="17" t="n">
        <v>0.599</v>
      </c>
      <c r="E5" s="14" t="inlineStr">
        <is>
          <t>B</t>
        </is>
      </c>
    </row>
    <row r="6">
      <c r="A6" s="19" t="inlineStr">
        <is>
          <t>Souvenirs</t>
        </is>
      </c>
      <c r="B6" s="18" t="n">
        <v>1</v>
      </c>
      <c r="C6" s="20" t="n">
        <v>44.7</v>
      </c>
      <c r="D6" s="21" t="n">
        <v>0.664</v>
      </c>
      <c r="E6" s="18" t="inlineStr">
        <is>
          <t>C</t>
        </is>
      </c>
    </row>
  </sheetData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2D6A4F"/>
    <outlinePr summaryBelow="1" summaryRight="1"/>
    <pageSetUpPr fitToPage="1"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6" customWidth="1" min="4" max="4"/>
  </cols>
  <sheetData>
    <row r="1">
      <c r="A1" s="38" t="inlineStr">
        <is>
          <t>Categoria</t>
        </is>
      </c>
      <c r="B1" s="38" t="inlineStr">
        <is>
          <t>Receita Total (R$)</t>
        </is>
      </c>
      <c r="C1" s="38" t="inlineStr">
        <is>
          <t>SKUs</t>
        </is>
      </c>
      <c r="D1" s="38" t="inlineStr">
        <is>
          <t>Margem % Média</t>
        </is>
      </c>
    </row>
    <row r="2">
      <c r="A2" s="29" t="inlineStr">
        <is>
          <t>Acessórios</t>
        </is>
      </c>
      <c r="B2" s="30" t="n">
        <v>256.8</v>
      </c>
      <c r="C2" s="34" t="n">
        <v>2</v>
      </c>
      <c r="D2" s="35" t="n">
        <v>0.5770000000000001</v>
      </c>
    </row>
    <row r="3">
      <c r="A3" s="31" t="inlineStr">
        <is>
          <t>Cangas</t>
        </is>
      </c>
      <c r="B3" s="32" t="n">
        <v>178</v>
      </c>
      <c r="C3" s="36" t="n">
        <v>1</v>
      </c>
      <c r="D3" s="37" t="n">
        <v>0.573</v>
      </c>
    </row>
    <row r="4">
      <c r="A4" s="29" t="inlineStr">
        <is>
          <t>Presentes</t>
        </is>
      </c>
      <c r="B4" s="30" t="n">
        <v>119.6</v>
      </c>
      <c r="C4" s="34" t="n">
        <v>1</v>
      </c>
      <c r="D4" s="35" t="n">
        <v>0.615</v>
      </c>
    </row>
    <row r="5">
      <c r="A5" s="31" t="inlineStr">
        <is>
          <t>Vestuário</t>
        </is>
      </c>
      <c r="B5" s="32" t="n">
        <v>69.90000000000001</v>
      </c>
      <c r="C5" s="36" t="n">
        <v>1</v>
      </c>
      <c r="D5" s="37" t="n">
        <v>0.599</v>
      </c>
    </row>
    <row r="6">
      <c r="A6" s="29" t="inlineStr">
        <is>
          <t>Souvenirs</t>
        </is>
      </c>
      <c r="B6" s="30" t="n">
        <v>44.7</v>
      </c>
      <c r="C6" s="34" t="n">
        <v>1</v>
      </c>
      <c r="D6" s="35" t="n">
        <v>0.664</v>
      </c>
    </row>
    <row r="7">
      <c r="A7" s="39" t="inlineStr">
        <is>
          <t>TOTAL GERAL</t>
        </is>
      </c>
      <c r="B7" s="40">
        <f>SUM(B2:B6)</f>
        <v/>
      </c>
      <c r="C7" s="4" t="n"/>
      <c r="D7" s="4" t="n"/>
    </row>
  </sheetData>
  <conditionalFormatting sqref="B2:B6">
    <cfRule type="colorScale" priority="1">
      <colorScale>
        <cfvo type="min"/>
        <cfvo type="max"/>
        <color rgb="00FFFFFF"/>
        <color rgb="0052B788"/>
      </colorScale>
    </cfRule>
  </conditionalFormatting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2026-04-27T05:45:57Z</dcterms:created>
  <dcterms:modified xsi:type="dcterms:W3CDTF">2026-04-27T05:45:57Z</dcterms:modified>
</cp:coreProperties>
</file>