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f4e191c83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Sales" sheetId="1" r:id="Rbb79c0e6cda242e5"/>
    <x:sheet xmlns:r="http://schemas.openxmlformats.org/officeDocument/2006/relationships" name="Catalog" sheetId="2" r:id="Re8d3ab69e48b4937"/>
    <x:sheet xmlns:r="http://schemas.openxmlformats.org/officeDocument/2006/relationships" name="Summary" sheetId="3" r:id="Ra554baa5960b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  <x:font>
      <x:i/>
      <x:sz val="11"/>
      <x:color rgb="333333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4F8FB"/>
      </x:patternFill>
    </x:fill>
    <x:fill>
      <x:patternFill patternType="solid">
        <x:fgColor rgb="2F75B5"/>
      </x:patternFill>
    </x:fill>
  </x:fills>
  <x:borders count="2">
    <x:border/>
    <x:border>
      <x:left>
        <x:color rgb="B7C9D6"/>
      </x:left>
      <x:right>
        <x:color rgb="B7C9D6"/>
      </x:right>
      <x:top>
        <x:color rgb="B7C9D6"/>
      </x:top>
      <x:bottom>
        <x:color rgb="B7C9D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3b7fabee54ecd" /><Relationship Type="http://schemas.openxmlformats.org/officeDocument/2006/relationships/theme" Target="/xl/theme/theme1.xml" Id="R4e246a7aeee64171" /><Relationship Type="http://schemas.openxmlformats.org/officeDocument/2006/relationships/sharedStrings" Target="/xl/sharedStrings.xml" Id="R21ae0ece348a4254" /><Relationship Type="http://schemas.openxmlformats.org/officeDocument/2006/relationships/worksheet" Target="/xl/worksheets/sheet1.xml" Id="Rbb79c0e6cda242e5" /><Relationship Type="http://schemas.openxmlformats.org/officeDocument/2006/relationships/worksheet" Target="/xl/worksheets/sheet2.xml" Id="Re8d3ab69e48b4937" /><Relationship Type="http://schemas.openxmlformats.org/officeDocument/2006/relationships/worksheet" Target="/xl/worksheets/sheet3.xml" Id="Ra554baa5960b45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dc812594924a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Units Sold by Category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Units Sold</c:v>
          </c:tx>
          <c:cat>
            <c:strRef>
              <c:f>'Summary'!$A$4:$A$5</c:f>
              <c:strCache>
                <c:ptCount val="0"/>
              </c:strCache>
            </c:strRef>
          </c:cat>
          <c:val>
            <c:numRef>
              <c:f>'Summary'!$B$4:$B$5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dc812594924a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SalesTable" displayName="DailySalesTable" ref="A1:H3" headerRowCount="1">
  <x:tableColumns count="8">
    <x:tableColumn id="1" name="Source PDF"/>
    <x:tableColumn id="2" name="Page"/>
    <x:tableColumn id="3" name="Category"/>
    <x:tableColumn id="4" name="Product Type"/>
    <x:tableColumn id="5" name="Design"/>
    <x:tableColumn id="6" name="Size"/>
    <x:tableColumn id="7" name="Quantity"/>
    <x:tableColumn id="8" name="Evidence / Note"/>
  </x:tableColumns>
  <x:tableStyleInfo name="TableStyleMedium2" showRowStripes="1"/>
</x:table>
</file>

<file path=xl/tables/table2.xml><?xml version="1.0" encoding="utf-8"?>
<x:table xmlns:x="http://schemas.openxmlformats.org/spreadsheetml/2006/main" id="1" name="CatalogTable" displayName="CatalogTable" ref="A1:D5" headerRowCount="1">
  <x:tableColumns count="4">
    <x:tableColumn id="1" name="Category"/>
    <x:tableColumn id="2" name="Product Type"/>
    <x:tableColumn id="3" name="Sizes"/>
    <x:tableColumn id="4" name="Designs / Pri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efb186a13d41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b182a59d554c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2ac25f0f57c451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13" hidden="0" customWidth="1"/>
    <x:col min="4" max="4" width="17" hidden="0" customWidth="1"/>
    <x:col min="5" max="5" width="19" hidden="0" customWidth="1"/>
    <x:col min="6" max="6" width="8" hidden="0" customWidth="1"/>
    <x:col min="7" max="7" width="10" hidden="0" customWidth="1"/>
    <x:col min="8" max="8" width="40" hidden="0" customWidth="1"/>
    <x:col min="10" max="10" width="20" hidden="0" customWidth="1"/>
    <x:col min="11" max="11" width="16" hidden="0" customWidth="1"/>
  </x:cols>
  <x:sheetData>
    <x:row r="1" ht="22" customHeight="1">
      <x:c r="A1" s="18" t="str">
        <x:v>Source PDF</x:v>
      </x:c>
      <x:c r="B1" s="18" t="str">
        <x:v>Page</x:v>
      </x:c>
      <x:c r="C1" s="18" t="str">
        <x:v>Category</x:v>
      </x:c>
      <x:c r="D1" s="18" t="str">
        <x:v>Product Type</x:v>
      </x:c>
      <x:c r="E1" s="18" t="str">
        <x:v>Design</x:v>
      </x:c>
      <x:c r="F1" s="18" t="str">
        <x:v>Size</x:v>
      </x:c>
      <x:c r="G1" s="18" t="str">
        <x:v>Quantity</x:v>
      </x:c>
      <x:c r="H1" s="18" t="str">
        <x:v>Evidence / Note</x:v>
      </x:c>
      <x:c r="J1" s="24" t="str">
        <x:v>Metric</x:v>
      </x:c>
      <x:c r="K1" s="24" t="str">
        <x:v>Value</x:v>
      </x:c>
    </x:row>
    <x:row r="2">
      <x:c r="A2" s="19" t="str">
        <x:v>regionais.pdf</x:v>
      </x:c>
      <x:c r="B2" s="19" t="n">
        <x:v>1</x:v>
      </x:c>
      <x:c r="C2" s="19" t="str">
        <x:v>BÁSICAS</x:v>
      </x:c>
      <x:c r="D2" s="19" t="str">
        <x:v>Camiseta Básica</x:v>
      </x:c>
      <x:c r="E2" s="19" t="str">
        <x:v>Cabedelo_Peito</x:v>
      </x:c>
      <x:c r="F2" s="19" t="str">
        <x:v>M</x:v>
      </x:c>
      <x:c r="G2" s="20" t="n">
        <x:v>5</x:v>
      </x:c>
      <x:c r="H2" s="19" t="str">
        <x:v>Annotated note states sale of 05 units, size M.</x:v>
      </x:c>
      <x:c r="J2" s="26" t="str">
        <x:v>Total Units Sold</x:v>
      </x:c>
      <x:c r="K2" s="17" t="n">
        <x:f>SUM(G2:G3)</x:f>
        <x:v>7</x:v>
      </x:c>
    </x:row>
    <x:row r="3">
      <x:c r="A3" s="19" t="str">
        <x:v>regionais.pdf</x:v>
      </x:c>
      <x:c r="B3" s="19" t="n">
        <x:v>1</x:v>
      </x:c>
      <x:c r="C3" s="19" t="str">
        <x:v>BABY</x:v>
      </x:c>
      <x:c r="D3" s="19" t="str">
        <x:v>Camiseta Baby</x:v>
      </x:c>
      <x:c r="E3" s="19" t="str">
        <x:v>FÉ</x:v>
      </x:c>
      <x:c r="F3" s="19" t="str">
        <x:v>P</x:v>
      </x:c>
      <x:c r="G3" s="20" t="n">
        <x:v>2</x:v>
      </x:c>
      <x:c r="H3" s="19" t="str">
        <x:v>Annotated note states sale of 02 units, size P.</x:v>
      </x:c>
      <x:c r="J3" s="26" t="str">
        <x:v>Distinct Sales Entries</x:v>
      </x:c>
      <x:c r="K3" s="17" t="n">
        <x:f>COUNTA(A2:A3)</x:f>
        <x:v>2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J4" s="26" t="str">
        <x:v>Source File</x:v>
      </x:c>
      <x:c r="K4" s="14" t="str">
        <x:v>regionais.pdf</x:v>
      </x:c>
    </x:row>
    <x:row r="5" ht="28" customHeight="1">
      <x:c r="A5" s="21" t="str">
        <x:v>Converted from daily PDF sales log</x:v>
      </x:c>
      <x:c r="B5" s="19"/>
      <x:c r="C5" s="19"/>
      <x:c r="D5" s="19"/>
      <x:c r="E5" s="19"/>
      <x:c r="F5" s="19"/>
      <x:c r="G5" s="19"/>
      <x:c r="H5" s="19"/>
    </x:row>
    <x:row r="6" ht="42" customHeight="1">
      <x:c r="A6" s="16" t="str">
        <x:v>This workbook captures the individual sales entries visibly annotated in the uploaded PDF. The PDF also contains the full product/design catalog used for manual tallying.</x:v>
      </x:c>
      <x:c r="B6" s="16" t="str">
        <x:v>This workbook captures the individual sales entries visibly annotated in the uploaded PDF. The PDF also contains the full product/design catalog used for manual tallying.</x:v>
      </x:c>
      <x:c r="C6" s="16" t="str">
        <x:v>This workbook captures the individual sales entries visibly annotated in the uploaded PDF. The PDF also contains the full product/design catalog used for manual tallying.</x:v>
      </x:c>
      <x:c r="D6" s="16" t="str">
        <x:v>This workbook captures the individual sales entries visibly annotated in the uploaded PDF. The PDF also contains the full product/design catalog used for manual tallying.</x:v>
      </x:c>
      <x:c r="E6" s="16" t="str">
        <x:v>This workbook captures the individual sales entries visibly annotated in the uploaded PDF. The PDF also contains the full product/design catalog used for manual tallying.</x:v>
      </x:c>
      <x:c r="F6" s="16" t="str">
        <x:v>This workbook captures the individual sales entries visibly annotated in the uploaded PDF. The PDF also contains the full product/design catalog used for manual tallying.</x:v>
      </x:c>
      <x:c r="G6" s="16" t="str">
        <x:v>This workbook captures the individual sales entries visibly annotated in the uploaded PDF. The PDF also contains the full product/design catalog used for manual tallying.</x:v>
      </x:c>
      <x:c r="H6" s="16" t="str">
        <x:v>This workbook captures the individual sales entries visibly annotated in the uploaded PDF. The PDF also contains the full product/design catalog used for manual tallying.</x:v>
      </x:c>
    </x:row>
  </x:sheetData>
  <x:mergeCells>
    <x:mergeCell ref="A5:H5"/>
    <x:mergeCell ref="A6:H6"/>
  </x:mergeCells>
  <x:pageMargins left="0.7" right="0.7" top="0.75" bottom="0.75" header="0.3" footer="0.3"/>
  <x:tableParts count="1">
    <x:tablePart xmlns:r="http://schemas.openxmlformats.org/officeDocument/2006/relationships" r:id="R6cefb186a13d41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95" hidden="0" customWidth="1"/>
  </x:cols>
  <x:sheetData>
    <x:row r="1">
      <x:c r="A1" s="13" t="str">
        <x:v>Category</x:v>
      </x:c>
      <x:c r="B1" s="13" t="str">
        <x:v>Product Type</x:v>
      </x:c>
      <x:c r="C1" s="13" t="str">
        <x:v>Sizes</x:v>
      </x:c>
      <x:c r="D1" s="13" t="str">
        <x:v>Designs / Prints</x:v>
      </x:c>
    </x:row>
    <x:row r="2" ht="75" customHeight="1">
      <x:c r="A2" s="29" t="str">
        <x:v>BÁSICAS</x:v>
      </x:c>
      <x:c r="B2" s="19" t="str">
        <x:v>Camiseta Básica</x:v>
      </x:c>
      <x:c r="C2" s="19" t="str">
        <x:v>P, M, G, GG</x:v>
      </x:c>
      <x:c r="D2" s="19" t="str">
        <x:v>4 PASSOS; ANATOMIA; BARRIGA; CABEDELO; CABEDELO PEITO; CORDEL; CUSCUZ; ESCRITA FINA; ESTADO CIVIL; FÉ; JOÃO PESSOA; PARAÍSO; LISA; MEIGA; MULHER MANDAR; NÃO SEI; OXENTE; PAISAGEM; POR SOL; POR SOL PEITO; SERTÃO; TRADUTOR; VELHA; VELHO</x:v>
      </x:c>
    </x:row>
    <x:row r="3" ht="75" customHeight="1">
      <x:c r="A3" s="29" t="str">
        <x:v>REGATAS</x:v>
      </x:c>
      <x:c r="B3" s="19" t="str">
        <x:v>Regata</x:v>
      </x:c>
      <x:c r="C3" s="19" t="str">
        <x:v>P, M, G, GG</x:v>
      </x:c>
      <x:c r="D3" s="19" t="str">
        <x:v>4 PASSOS; BARRIGA; JOÃO PESSOA; PARAÍSO; LISA; NÃO SEI; OXENTE; PAISAGEM; POR SOL PEITO; VELHO</x:v>
      </x:c>
    </x:row>
    <x:row r="4" ht="75" customHeight="1">
      <x:c r="A4" s="29" t="str">
        <x:v>INFANTIS</x:v>
      </x:c>
      <x:c r="B4" s="19" t="str">
        <x:v>Infantil</x:v>
      </x:c>
      <x:c r="C4" s="19" t="str">
        <x:v>2, 4, 6, 8</x:v>
      </x:c>
      <x:c r="D4" s="19" t="str">
        <x:v>CASA VOVÓ; LISA; NÃO SEI; OXENTE; QUADRINHOS; JOÃO PESSOA; PARAÍSO</x:v>
      </x:c>
    </x:row>
    <x:row r="5" ht="75" customHeight="1">
      <x:c r="A5" s="29" t="str">
        <x:v>BABY</x:v>
      </x:c>
      <x:c r="B5" s="19" t="str">
        <x:v>Camiseta Baby</x:v>
      </x:c>
      <x:c r="C5" s="19" t="str">
        <x:v>P, M, G, GG</x:v>
      </x:c>
      <x:c r="D5" s="19" t="str">
        <x:v>4 PASSOS; CABEDELO; CABEDELO PEITO; CORDEL; CUSCUZ; ESCRITA FINA; ESTADO CIVIL; FÉ; JOÃO PESSOA; PARAÍSO; LISA; MEIGA; NÃO SEI; OXENTE; PAISAGEM; POR SOL; POR SOL PEITO; TRADUTOR; VELHA</x:v>
      </x:c>
    </x:row>
  </x:sheetData>
  <x:pageMargins left="0.7" right="0.7" top="0.75" bottom="0.75" header="0.3" footer="0.3"/>
  <x:tableParts count="1">
    <x:tablePart xmlns:r="http://schemas.openxmlformats.org/officeDocument/2006/relationships" r:id="R22b182a59d554c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6" hidden="0" customWidth="1"/>
  </x:cols>
  <x:sheetData>
    <x:row r="1">
      <x:c r="A1" s="31" t="str">
        <x:v>Daily Sales Summary</x:v>
      </x:c>
    </x:row>
    <x:row r="3">
      <x:c r="A3" s="34" t="str">
        <x:v>Category</x:v>
      </x:c>
      <x:c r="B3" s="34" t="str">
        <x:v>Units Sold</x:v>
      </x:c>
    </x:row>
    <x:row r="4">
      <x:c r="A4" s="26" t="str">
        <x:v>BÁSICAS</x:v>
      </x:c>
      <x:c r="B4" s="17" t="n">
        <x:f>SUMIFS(Daily_Sales!$G$2:$G$3,Daily_Sales!$C$2:$C$3,A4)</x:f>
        <x:v>5</x:v>
      </x:c>
    </x:row>
    <x:row r="5">
      <x:c r="A5" s="26" t="str">
        <x:v>BABY</x:v>
      </x:c>
      <x:c r="B5" s="17" t="n">
        <x:f>SUMIFS(Daily_Sales!$G$2:$G$3,Daily_Sales!$C$2:$C$3,A5)</x:f>
        <x:v>2</x:v>
      </x:c>
    </x:row>
    <x:row r="6">
      <x:c r="A6" s="26" t="str">
        <x:v>Grand Total</x:v>
      </x:c>
      <x:c r="B6" s="17" t="n">
        <x:f>SUM(B4:B5)</x:f>
        <x:v>7</x:v>
      </x:c>
    </x:row>
    <x:row r="7">
      <x:c r="B7" s="35"/>
    </x:row>
    <x:row r="8">
      <x:c r="A8" s="34" t="str">
        <x:v>Design</x:v>
      </x:c>
      <x:c r="B8" s="36" t="str">
        <x:v>Units Sold</x:v>
      </x:c>
      <x:c r="C8" s="34" t="str">
        <x:v>Category</x:v>
      </x:c>
    </x:row>
    <x:row r="9">
      <x:c r="A9" s="26" t="str">
        <x:v>Cabedelo_Peito</x:v>
      </x:c>
      <x:c r="B9" s="17" t="n">
        <x:f>SUMIFS(Daily_Sales!$G$2:$G$3,Daily_Sales!$E$2:$E$3,A9)</x:f>
        <x:v>5</x:v>
      </x:c>
      <x:c r="C9" s="14" t="str">
        <x:v>BÁSICAS</x:v>
      </x:c>
    </x:row>
    <x:row r="10">
      <x:c r="A10" s="26" t="str">
        <x:v>FÉ</x:v>
      </x:c>
      <x:c r="B10" s="17" t="n">
        <x:f>SUMIFS(Daily_Sales!$G$2:$G$3,Daily_Sales!$E$2:$E$3,A10)</x:f>
        <x:v>2</x:v>
      </x:c>
      <x:c r="C10" s="14" t="str">
        <x:v>BABY</x:v>
      </x:c>
    </x:row>
    <x:row r="11">
      <x:c r="A11" s="26" t="str">
        <x:v>Most Sold Design</x:v>
      </x:c>
      <x:c r="B11" s="17" t="n">
        <x:f>MAX(B9:B10)</x:f>
        <x:v>5</x:v>
      </x:c>
      <x:c r="C11" s="14" t="str">
        <x:f>INDEX(A9:A10,MATCH(B11,B9:B10,0))</x:f>
        <x:v>Cabedelo_Peito</x:v>
      </x:c>
    </x:row>
  </x:sheetData>
  <x:mergeCells>
    <x:mergeCell ref="A1:D1"/>
  </x:mergeCells>
  <x:conditionalFormatting sqref="B9:B10">
    <x:cfRule type="colorScale" priority="1">
      <x:colorScale>
        <x:cfvo type="min"/>
        <x:cfvo type="percentile" val="50"/>
        <x:cfvo type="max"/>
        <x:color rgb="FCE4D6"/>
        <x:color rgb="FFF2CC"/>
        <x:color rgb="C6E0B4"/>
      </x:colorScale>
    </x:cfRule>
  </x:conditionalFormatting>
  <x:pageMargins left="0.7" right="0.7" top="0.75" bottom="0.75" header="0.3" footer="0.3"/>
  <x:drawing xmlns:r="http://schemas.openxmlformats.org/officeDocument/2006/relationships" r:id="R92ac25f0f57c4515"/>
</x:worksheet>
</file>